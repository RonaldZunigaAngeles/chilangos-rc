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d0a6e089f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Ms" sheetId="1" r:id="R1d6fa59a6e7f4377"/>
  </x:sheets>
</x:workbook>
</file>

<file path=xl/sharedStrings.xml><?xml version="1.0" encoding="utf-8"?>
<x:sst xmlns:x="http://schemas.openxmlformats.org/spreadsheetml/2006/main">
  <x:si>
    <x:t xml:space="preserve">Nombre del Biker</x:t>
  </x:si>
  <x:si>
    <x:t xml:space="preserve">Moto</x:t>
  </x:si>
  <x:si>
    <x:t xml:space="preserve">Fecha Registro</x:t>
  </x:si>
  <x:si>
    <x:t xml:space="preserve">Odómetro Inicial</x:t>
  </x:si>
  <x:si>
    <x:t xml:space="preserve">Odómetro Final</x:t>
  </x:si>
  <x:si>
    <x:t xml:space="preserve">Unidades</x:t>
  </x:si>
  <x:si>
    <x:t xml:space="preserve">Distancia Recorrida (KM)</x:t>
  </x:si>
  <x:si>
    <x:t xml:space="preserve">Distancia Acumulada (KM)</x:t>
  </x:si>
  <x:si>
    <x:t xml:space="preserve">Parche Entregado</x:t>
  </x:si>
  <x:si>
    <x:t xml:space="preserve">Alej</x:t>
  </x:si>
  <x:si>
    <x:t xml:space="preserve">Sportster</x:t>
  </x:si>
  <x:si>
    <x:t xml:space="preserve">Km</x:t>
  </x:si>
  <x:si>
    <x:t xml:space="preserve">Fat Boy</x:t>
  </x:si>
  <x:si>
    <x:t xml:space="preserve">Mi</x:t>
  </x:si>
  <x:si>
    <x:t xml:space="preserve">Austria</x:t>
  </x:si>
  <x:si>
    <x:t xml:space="preserve">Street Glide</x:t>
  </x:si>
  <x:si>
    <x:t xml:space="preserve">Charly</x:t>
  </x:si>
  <x:si>
    <x:t xml:space="preserve">Fer</x:t>
  </x:si>
  <x:si>
    <x:t xml:space="preserve">Ultra Glide</x:t>
  </x:si>
  <x:si>
    <x:t xml:space="preserve">Road Glide</x:t>
  </x:si>
  <x:si>
    <x:t xml:space="preserve">Mac</x:t>
  </x:si>
  <x:si>
    <x:t xml:space="preserve">Iron 883</x:t>
  </x:si>
  <x:si>
    <x:t xml:space="preserve">Sportster 1200</x:t>
  </x:si>
  <x:si>
    <x:t xml:space="preserve">Richard</x:t>
  </x:si>
  <x:si>
    <x:t xml:space="preserve">Dyna</x:t>
  </x:si>
  <x:si>
    <x:t xml:space="preserve">Ronnie</x:t>
  </x:si>
  <x:si>
    <x:t xml:space="preserve">Roadster</x:t>
  </x:si>
  <x:si>
    <x:t xml:space="preserve">Rulo</x:t>
  </x:si>
  <x:si>
    <x:t xml:space="preserve">Rafa</x:t>
  </x:si>
  <x:si>
    <x:t xml:space="preserve">Seb</x:t>
  </x:si>
  <x:si>
    <x:t xml:space="preserve">Inra</x:t>
  </x:si>
  <x:si>
    <x:t xml:space="preserve">Road King</x:t>
  </x:si>
  <x:si>
    <x:t xml:space="preserve">Ultra Clasic</x:t>
  </x:si>
  <x:si>
    <x:t xml:space="preserve">Angel</x:t>
  </x:si>
  <x:si>
    <x:t xml:space="preserve">Gi</x:t>
  </x:si>
</x:sst>
</file>

<file path=xl/styles.xml><?xml version="1.0" encoding="utf-8"?>
<x:styleSheet xmlns:x="http://schemas.openxmlformats.org/spreadsheetml/2006/main">
  <x:numFmts count="2">
    <x:numFmt numFmtId="43" formatCode="_-* #,##0.00_-;\-* #,##0.00_-;_-* &quot;-&quot;??_-;_-@_-"/>
    <x:numFmt numFmtId="164" formatCode="_-* #,##0_-;\-* #,##0_-;_-* &quot;-&quot;??_-;_-@_-"/>
  </x:numFmts>
  <x:fonts count="4">
    <x:font>
      <x:sz val="11"/>
      <x:color theme="1"/>
      <x:name val="Aptos Narrow"/>
    </x:font>
    <x:font>
      <x:sz val="11"/>
      <x:color theme="1"/>
      <x:name val="Aptos Narrow"/>
    </x:font>
    <x:font>
      <x:b/>
      <x:sz val="11"/>
      <x:color theme="0"/>
      <x:name val="Aptos Narrow"/>
    </x:font>
    <x:font>
      <x:sz val="11"/>
      <x:color rgb="FF0F1115"/>
      <x:name val="Consolas"/>
    </x:font>
  </x:fonts>
  <x:fills count="3">
    <x:fill>
      <x:patternFill patternType="none"/>
    </x:fill>
    <x:fill>
      <x:patternFill patternType="gray125"/>
    </x:fill>
    <x:fill>
      <x:patternFill patternType="solid">
        <x:fgColor theme="1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43" fontId="1" fillId="0" borderId="0" applyFont="0" applyFill="0" applyBorder="0" applyAlignment="0" applyProtection="0"/>
  </x:cellStyleXfs>
  <x:cellXfs count="14">
    <x:xf numFmtId="0" fontId="0" fillId="0" borderId="0" xfId="0"/>
    <x:xf numFmtId="0" fontId="2" fillId="2" borderId="1" xfId="0" applyFont="1" applyFill="1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left"/>
    </x:xf>
    <x:xf numFmtId="14" fontId="0" fillId="0" borderId="1" xfId="0" applyNumberFormat="1" applyBorder="1" applyAlignment="1">
      <x:alignment horizontal="center"/>
    </x:xf>
    <x:xf numFmtId="164" fontId="0" fillId="0" borderId="1" xfId="1" applyNumberFormat="1" applyFont="1" applyBorder="1" applyAlignment="1">
      <x:alignment horizontal="center" vertical="center"/>
    </x:xf>
    <x:xf numFmtId="0" fontId="0" fillId="0" borderId="1" xfId="0" applyBorder="1" applyAlignment="1">
      <x:alignment horizontal="center"/>
    </x:xf>
    <x:xf numFmtId="164" fontId="0" fillId="0" borderId="1" xfId="1" applyNumberFormat="1" applyFon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0" fontId="0" fillId="0" borderId="0" xfId="0" applyAlignment="1">
      <x:alignment horizontal="center"/>
    </x:xf>
    <x:xf numFmtId="164" fontId="0" fillId="0" borderId="0" xfId="0" applyNumberFormat="1"/>
    <x:xf numFmtId="0" fontId="0" fillId="0" borderId="0" xfId="0" applyAlignment="1">
      <x:alignment horizontal="center" vertical="center"/>
    </x:xf>
    <x:xf numFmtId="164" fontId="0" fillId="0" borderId="0" xfId="0" applyNumberFormat="1" applyAlignment="1">
      <x:alignment horizontal="center" vertical="center"/>
    </x:xf>
  </x:cellXfs>
  <x:cellStyles count="2">
    <x:cellStyle name="Millares" xfId="1"/>
    <x:cellStyle name="Normal" xfId="0"/>
  </x:cellStyles>
  <x:dxfs count="1">
    <x:dxf>
      <x:font>
        <x:color rgb="FF006100"/>
      </x:font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7ce92a92b43dd" /><Relationship Type="http://schemas.openxmlformats.org/officeDocument/2006/relationships/theme" Target="/xl/theme/theme1.xml" Id="R8a89c244548f4c9f" /><Relationship Type="http://schemas.openxmlformats.org/officeDocument/2006/relationships/sharedStrings" Target="/xl/sharedStrings.xml" Id="Rf550654cfaec42ea" /><Relationship Type="http://schemas.openxmlformats.org/officeDocument/2006/relationships/worksheet" Target="/xl/worksheets/sheet1.xml" Id="R1d6fa59a6e7f4377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5"/>
  <x:cols>
    <x:col min="1" max="3" width="22.7109375" style="10" customWidth="1"/>
    <x:col min="4" max="5" width="22.7109375" style="12" customWidth="1"/>
    <x:col min="6" max="6" width="22.7109375" style="10" customWidth="1"/>
    <x:col min="7" max="7" width="23.42578125" style="10" customWidth="1"/>
    <x:col min="8" max="8" width="24.5703125" style="10" customWidth="1"/>
    <x:col min="9" max="9" width="22.7109375" style="10" hidden="1" customWidth="1"/>
    <x:col min="10" max="10" width="9.5703125" style="10" customWidth="1"/>
    <x:col min="11" max="13" width="10.5703125" style="10" customWidth="1"/>
    <x:col min="14" max="14" width="11.5703125" style="10" customWidth="1"/>
    <x:col min="15" max="15" width="16.7109375" customWidth="1"/>
    <x:col min="16" max="16" width="16.7109375" customWidth="1"/>
    <x:col min="17" max="18" width="12.285156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2" t="s">
        <x:v>8</x:v>
      </x:c>
      <x:c r="J1" s="1">
        <x:v>5000</x:v>
      </x:c>
      <x:c r="K1" s="1">
        <x:v>10000</x:v>
      </x:c>
      <x:c r="L1" s="1">
        <x:v>25000</x:v>
      </x:c>
      <x:c r="M1" s="1">
        <x:v>50000</x:v>
      </x:c>
      <x:c r="N1" s="1">
        <x:v>100000</x:v>
      </x:c>
    </x:row>
    <x:row r="2" s="10" customFormat="1">
      <x:c r="A2" s="3" t="s">
        <x:v>9</x:v>
      </x:c>
      <x:c r="B2" s="3" t="s">
        <x:v>10</x:v>
      </x:c>
      <x:c r="C2" s="4"/>
      <x:c r="D2" s="5">
        <x:v>51510</x:v>
      </x:c>
      <x:c r="E2" s="5">
        <x:v>56510</x:v>
      </x:c>
      <x:c r="F2" s="6" t="s">
        <x:v>11</x:v>
      </x:c>
      <x:c r="G2" s="7" t="n">
        <x:f>IF(F2="KM",E2-D2,(E2-D2)*1.60934)</x:f>
        <x:v>5000</x:v>
      </x:c>
      <x:c r="H2" s="7" t="n">
        <x:f>G2</x:f>
        <x:v>5000</x:v>
      </x:c>
      <x:c r="I2" s="8" t="str">
        <x:f>IF(H2&gt;=100000, "100,000 KM",
   IF(H2&gt;=75000, "75,000 KM",
   IF(H2&gt;=50000, "50,000 KM",
   IF(H2&gt;=25000, "25,000 KM",
   IF(H2&gt;=10000, "10,000 KM",
   IF(H2&gt;=5000, "5,000 KM", "Sin parche"))))))</x:f>
        <x:v>5,000 KM</x:v>
      </x:c>
      <x:c r="J2" s="9" t="str">
        <x:f>IF($H2&gt;=J$1,"Parche","")</x:f>
        <x:v>Parche</x:v>
      </x:c>
      <x:c r="K2" s="9" t="str">
        <x:f t="shared" ref="K2:N14" si="0">IF($H2&gt;=K$1,"Parche","")</x:f>
      </x:c>
      <x:c r="L2" s="9" t="str">
        <x:f t="shared" si="0"/>
      </x:c>
      <x:c r="M2" s="9" t="str">
        <x:f t="shared" si="0"/>
      </x:c>
      <x:c r="N2" s="9" t="str">
        <x:f t="shared" si="0"/>
      </x:c>
    </x:row>
    <x:row r="3">
      <x:c r="A3" s="3" t="s">
        <x:v>9</x:v>
      </x:c>
      <x:c r="B3" s="3" t="s">
        <x:v>12</x:v>
      </x:c>
      <x:c r="C3" s="4"/>
      <x:c r="D3" s="5">
        <x:v>37824</x:v>
      </x:c>
      <x:c r="E3" s="5">
        <x:v>41153</x:v>
      </x:c>
      <x:c r="F3" s="6" t="s">
        <x:v>13</x:v>
      </x:c>
      <x:c r="G3" s="7" t="n">
        <x:f>IF(F3="KM",E3-D3,(E3-D3)*1.60934)</x:f>
        <x:v>5357.49286</x:v>
      </x:c>
      <x:c r="H3" s="7" t="n">
        <x:f>H2+G3</x:f>
        <x:v>10357.49286</x:v>
      </x:c>
      <x:c r="I3" s="8" t="str">
        <x:f>IF(H3&gt;=100000, "100,000 KM",
   IF(H3&gt;=75000, "75,000 KM",
   IF(H3&gt;=50000, "50,000 KM",
   IF(H3&gt;=25000, "25,000 KM",
   IF(H3&gt;=10000, "10,000 KM",
   IF(H3&gt;=5000, "5,000 KM", "Sin parche"))))))</x:f>
        <x:v>10,000 KM</x:v>
      </x:c>
      <x:c r="J3" s="9" t="str">
        <x:f t="shared" ref="J3:N20" si="1">IF($H3&gt;=J$1,"Parche","")</x:f>
        <x:v>Parche</x:v>
      </x:c>
      <x:c r="K3" s="9" t="str">
        <x:f t="shared" si="0"/>
        <x:v>Parche</x:v>
      </x:c>
      <x:c r="L3" s="9" t="str">
        <x:f t="shared" si="0"/>
      </x:c>
      <x:c r="M3" s="9" t="str">
        <x:f t="shared" si="0"/>
      </x:c>
      <x:c r="N3" s="9" t="str">
        <x:f t="shared" si="0"/>
      </x:c>
    </x:row>
    <x:row r="4">
      <x:c r="A4" s="3" t="s">
        <x:v>14</x:v>
      </x:c>
      <x:c r="B4" s="3" t="s">
        <x:v>15</x:v>
      </x:c>
      <x:c r="C4" s="4"/>
      <x:c r="D4" s="5">
        <x:v>34862</x:v>
      </x:c>
      <x:c r="E4" s="5">
        <x:v>51354</x:v>
      </x:c>
      <x:c r="F4" s="6" t="s">
        <x:v>11</x:v>
      </x:c>
      <x:c r="G4" s="7" t="n">
        <x:f>IF(F4="KM",E4-D4,(E4-D4)*1.60934)</x:f>
        <x:v>16492</x:v>
      </x:c>
      <x:c r="H4" s="7" t="n">
        <x:f>G4</x:f>
        <x:v>16492</x:v>
      </x:c>
      <x:c r="I4" s="8" t="str">
        <x:f>IF(H4&gt;=100000, "100,000 KM",
   IF(H4&gt;=75000, "75,000 KM",
   IF(H4&gt;=50000, "50,000 KM",
   IF(H4&gt;=25000, "25,000 KM",
   IF(H4&gt;=10000, "10,000 KM",
   IF(H4&gt;=5000, "5,000 KM", "Sin parche"))))))</x:f>
        <x:v>10,000 KM</x:v>
      </x:c>
      <x:c r="J4" s="9" t="str">
        <x:f t="shared" si="1"/>
        <x:v>Parche</x:v>
      </x:c>
      <x:c r="K4" s="9" t="str">
        <x:f t="shared" si="0"/>
        <x:v>Parche</x:v>
      </x:c>
      <x:c r="L4" s="9" t="str">
        <x:f t="shared" si="0"/>
      </x:c>
      <x:c r="M4" s="9" t="str">
        <x:f t="shared" si="0"/>
      </x:c>
      <x:c r="N4" s="9" t="str">
        <x:f t="shared" si="0"/>
      </x:c>
    </x:row>
    <x:row r="5">
      <x:c r="A5" s="3" t="s">
        <x:v>16</x:v>
      </x:c>
      <x:c r="B5" s="3" t="s">
        <x:v>15</x:v>
      </x:c>
      <x:c r="C5" s="6"/>
      <x:c r="D5" s="5"/>
      <x:c r="E5" s="5"/>
      <x:c r="F5" s="6"/>
      <x:c r="G5" s="7" t="n">
        <x:f t="shared" ref="G5:G6" si="2">IF(F5="KM",E5-D5,(E5-D5)*1.60934)</x:f>
        <x:v>0</x:v>
      </x:c>
      <x:c r="H5" s="7" t="n">
        <x:f t="shared" ref="H5:H20" si="3">G5</x:f>
        <x:v>0</x:v>
      </x:c>
      <x:c r="I5" s="8" t="str">
        <x:f t="shared" ref="I5:I20" si="4">IF(H5&gt;=100000, "100,000 KM",
   IF(H5&gt;=75000, "75,000 KM",
   IF(H5&gt;=50000, "50,000 KM",
   IF(H5&gt;=25000, "25,000 KM",
   IF(H5&gt;=10000, "10,000 KM",
   IF(H5&gt;=5000, "5,000 KM", "Sin parche"))))))</x:f>
        <x:v>Sin parche</x:v>
      </x:c>
      <x:c r="J5" s="9" t="str">
        <x:f t="shared" si="1"/>
      </x:c>
      <x:c r="K5" s="9" t="str">
        <x:f t="shared" si="0"/>
      </x:c>
      <x:c r="L5" s="9" t="str">
        <x:f t="shared" si="0"/>
      </x:c>
      <x:c r="M5" s="9" t="str">
        <x:f t="shared" si="0"/>
      </x:c>
      <x:c r="N5" s="9" t="str">
        <x:f t="shared" si="0"/>
      </x:c>
    </x:row>
    <x:row r="6">
      <x:c r="A6" s="3" t="s">
        <x:v>17</x:v>
      </x:c>
      <x:c r="B6" s="3" t="s">
        <x:v>18</x:v>
      </x:c>
      <x:c r="C6" s="6"/>
      <x:c r="D6" s="5">
        <x:v>12200</x:v>
      </x:c>
      <x:c r="E6" s="5">
        <x:v>31220</x:v>
      </x:c>
      <x:c r="F6" s="6" t="s">
        <x:v>11</x:v>
      </x:c>
      <x:c r="G6" s="7">
        <x:f t="shared" si="2"/>
        <x:v>19020</x:v>
      </x:c>
      <x:c r="H6" s="7">
        <x:f t="shared" si="3"/>
        <x:v>19020</x:v>
      </x:c>
      <x:c r="I6" s="8" t="str">
        <x:f t="shared" si="4"/>
        <x:v>10,000 KM</x:v>
      </x:c>
      <x:c r="J6" s="9" t="str">
        <x:f t="shared" si="1"/>
        <x:v>Parche</x:v>
      </x:c>
      <x:c r="K6" s="9" t="str">
        <x:f t="shared" si="0"/>
        <x:v>Parche</x:v>
      </x:c>
      <x:c r="L6" s="9" t="str">
        <x:f t="shared" si="0"/>
      </x:c>
      <x:c r="M6" s="9" t="str">
        <x:f t="shared" si="0"/>
      </x:c>
      <x:c r="N6" s="9" t="str">
        <x:f t="shared" si="0"/>
      </x:c>
    </x:row>
    <x:row r="7">
      <x:c r="A7" s="3" t="s">
        <x:v>17</x:v>
      </x:c>
      <x:c r="B7" s="3" t="s">
        <x:v>19</x:v>
      </x:c>
      <x:c r="C7" s="4"/>
      <x:c r="D7" s="5">
        <x:v>37002</x:v>
      </x:c>
      <x:c r="E7" s="5">
        <x:v>42421</x:v>
      </x:c>
      <x:c r="F7" s="6" t="s">
        <x:v>11</x:v>
      </x:c>
      <x:c r="G7" s="7" t="n">
        <x:f>IF(F7="KM",E7-D7,(E7-D7)*1.60934)</x:f>
        <x:v>5419</x:v>
      </x:c>
      <x:c r="H7" s="7" t="n">
        <x:f>H6+G7</x:f>
        <x:v>24439</x:v>
      </x:c>
      <x:c r="I7" s="8" t="str">
        <x:f>IF(H7&gt;=100000, "100,000 KM",
   IF(H7&gt;=75000, "75,000 KM",
   IF(H7&gt;=50000, "50,000 KM",
   IF(H7&gt;=25000, "25,000 KM",
   IF(H7&gt;=10000, "10,000 KM",
   IF(H7&gt;=5000, "5,000 KM", "Sin parche"))))))</x:f>
        <x:v>10,000 KM</x:v>
      </x:c>
      <x:c r="J7" s="9" t="str">
        <x:f t="shared" si="1"/>
        <x:v>Parche</x:v>
      </x:c>
      <x:c r="K7" s="9" t="str">
        <x:f t="shared" si="0"/>
        <x:v>Parche</x:v>
      </x:c>
      <x:c r="L7" s="9" t="str">
        <x:f t="shared" si="0"/>
      </x:c>
      <x:c r="M7" s="9" t="str">
        <x:f t="shared" si="0"/>
      </x:c>
      <x:c r="N7" s="9" t="str">
        <x:f t="shared" si="0"/>
      </x:c>
    </x:row>
    <x:row r="8">
      <x:c r="A8" s="3" t="s">
        <x:v>20</x:v>
      </x:c>
      <x:c r="B8" s="3" t="s">
        <x:v>21</x:v>
      </x:c>
      <x:c r="C8" s="6"/>
      <x:c r="D8" s="5">
        <x:v>9738</x:v>
      </x:c>
      <x:c r="E8" s="5">
        <x:v>16069</x:v>
      </x:c>
      <x:c r="F8" s="6" t="s">
        <x:v>11</x:v>
      </x:c>
      <x:c r="G8" s="7" t="n">
        <x:f t="shared" ref="G8:G10" si="5">IF(F8="KM",E8-D8,(E8-D8)*1.60934)</x:f>
        <x:v>6331</x:v>
      </x:c>
      <x:c r="H8" s="7">
        <x:f t="shared" si="3"/>
        <x:v>6331</x:v>
      </x:c>
      <x:c r="I8" s="8" t="str">
        <x:f t="shared" si="4"/>
        <x:v>5,000 KM</x:v>
      </x:c>
      <x:c r="J8" s="9" t="str">
        <x:f t="shared" si="1"/>
        <x:v>Parche</x:v>
      </x:c>
      <x:c r="K8" s="9" t="str">
        <x:f t="shared" si="0"/>
      </x:c>
      <x:c r="L8" s="9" t="str">
        <x:f t="shared" si="0"/>
      </x:c>
      <x:c r="M8" s="9" t="str">
        <x:f t="shared" si="0"/>
      </x:c>
      <x:c r="N8" s="9" t="str">
        <x:f t="shared" si="0"/>
      </x:c>
    </x:row>
    <x:row r="9">
      <x:c r="A9" s="3" t="s">
        <x:v>20</x:v>
      </x:c>
      <x:c r="B9" s="3" t="s">
        <x:v>22</x:v>
      </x:c>
      <x:c r="C9" s="6"/>
      <x:c r="D9" s="5">
        <x:v>27773</x:v>
      </x:c>
      <x:c r="E9" s="5">
        <x:v>27773</x:v>
      </x:c>
      <x:c r="F9" s="6" t="s">
        <x:v>11</x:v>
      </x:c>
      <x:c r="G9" s="7" t="n">
        <x:f>IF(F9="KM",E9-D9,(E9-D9)*1.60934)</x:f>
        <x:v>0</x:v>
      </x:c>
      <x:c r="H9" s="7" t="n">
        <x:f>H8+G9</x:f>
        <x:v>6331</x:v>
      </x:c>
      <x:c r="I9" s="8" t="str">
        <x:f t="shared" si="4"/>
        <x:v>5,000 KM</x:v>
      </x:c>
      <x:c r="J9" s="9" t="str">
        <x:f t="shared" si="1"/>
        <x:v>Parche</x:v>
      </x:c>
      <x:c r="K9" s="9" t="str">
        <x:f t="shared" si="0"/>
      </x:c>
      <x:c r="L9" s="9" t="str">
        <x:f t="shared" si="0"/>
      </x:c>
      <x:c r="M9" s="9" t="str">
        <x:f t="shared" si="0"/>
      </x:c>
      <x:c r="N9" s="9" t="str">
        <x:f t="shared" si="0"/>
      </x:c>
    </x:row>
    <x:row r="10">
      <x:c r="A10" s="3" t="s">
        <x:v>23</x:v>
      </x:c>
      <x:c r="B10" s="3" t="s">
        <x:v>21</x:v>
      </x:c>
      <x:c r="C10" s="6"/>
      <x:c r="D10" s="5">
        <x:v>36973</x:v>
      </x:c>
      <x:c r="E10" s="5">
        <x:v>43523</x:v>
      </x:c>
      <x:c r="F10" s="6" t="s">
        <x:v>11</x:v>
      </x:c>
      <x:c r="G10" s="7">
        <x:f t="shared" si="5"/>
        <x:v>6550</x:v>
      </x:c>
      <x:c r="H10" s="7">
        <x:f t="shared" si="3"/>
        <x:v>6550</x:v>
      </x:c>
      <x:c r="I10" s="8" t="str">
        <x:f t="shared" si="4"/>
        <x:v>5,000 KM</x:v>
      </x:c>
      <x:c r="J10" s="9" t="str">
        <x:f t="shared" si="1"/>
        <x:v>Parche</x:v>
      </x:c>
      <x:c r="K10" s="9" t="str">
        <x:f t="shared" si="0"/>
      </x:c>
      <x:c r="L10" s="9" t="str">
        <x:f t="shared" si="0"/>
      </x:c>
      <x:c r="M10" s="9" t="str">
        <x:f t="shared" si="0"/>
      </x:c>
      <x:c r="N10" s="9" t="str">
        <x:f t="shared" si="0"/>
      </x:c>
    </x:row>
    <x:row r="11">
      <x:c r="A11" s="3" t="s">
        <x:v>23</x:v>
      </x:c>
      <x:c r="B11" s="3" t="s">
        <x:v>24</x:v>
      </x:c>
      <x:c r="C11" s="4"/>
      <x:c r="D11" s="5">
        <x:v>13941</x:v>
      </x:c>
      <x:c r="E11" s="5">
        <x:v>14642</x:v>
      </x:c>
      <x:c r="F11" s="6" t="s">
        <x:v>13</x:v>
      </x:c>
      <x:c r="G11" s="7" t="n">
        <x:f>IF(F11="KM",E11-D11,(E11-D11)*1.60934)</x:f>
        <x:v>1128.14734</x:v>
      </x:c>
      <x:c r="H11" s="7" t="n">
        <x:f>H10+G11</x:f>
        <x:v>7678.1473399999995</x:v>
      </x:c>
      <x:c r="I11" s="8" t="str">
        <x:f>IF(H11&gt;=100000, "100,000 KM",
   IF(H11&gt;=75000, "75,000 KM",
   IF(H11&gt;=50000, "50,000 KM",
   IF(H11&gt;=25000, "25,000 KM",
   IF(H11&gt;=10000, "10,000 KM",
   IF(H11&gt;=5000, "5,000 KM", "Sin parche"))))))</x:f>
        <x:v>5,000 KM</x:v>
      </x:c>
      <x:c r="J11" s="9" t="str">
        <x:f t="shared" si="1"/>
        <x:v>Parche</x:v>
      </x:c>
      <x:c r="K11" s="9" t="str">
        <x:f t="shared" si="0"/>
      </x:c>
      <x:c r="L11" s="9" t="str">
        <x:f t="shared" si="0"/>
      </x:c>
      <x:c r="M11" s="9" t="str">
        <x:f t="shared" si="0"/>
      </x:c>
      <x:c r="N11" s="9" t="str">
        <x:f t="shared" si="0"/>
      </x:c>
    </x:row>
    <x:row r="12">
      <x:c r="A12" s="3" t="s">
        <x:v>25</x:v>
      </x:c>
      <x:c r="B12" s="3" t="s">
        <x:v>26</x:v>
      </x:c>
      <x:c r="C12" s="6"/>
      <x:c r="D12" s="5">
        <x:v>908</x:v>
      </x:c>
      <x:c r="E12" s="5">
        <x:v>25631</x:v>
      </x:c>
      <x:c r="F12" s="6" t="s">
        <x:v>11</x:v>
      </x:c>
      <x:c r="G12" s="7" t="n">
        <x:f t="shared" ref="G12:G20" si="6">IF(F12="KM",E12-D12,(E12-D12)*1.60934)</x:f>
        <x:v>24723</x:v>
      </x:c>
      <x:c r="H12" s="7">
        <x:f t="shared" si="3"/>
        <x:v>24723</x:v>
      </x:c>
      <x:c r="I12" s="8" t="str">
        <x:f t="shared" si="4"/>
        <x:v>10,000 KM</x:v>
      </x:c>
      <x:c r="J12" s="9" t="str">
        <x:f t="shared" si="1"/>
        <x:v>Parche</x:v>
      </x:c>
      <x:c r="K12" s="9" t="str">
        <x:f t="shared" si="0"/>
        <x:v>Parche</x:v>
      </x:c>
      <x:c r="L12" s="9" t="str">
        <x:f t="shared" si="0"/>
      </x:c>
      <x:c r="M12" s="9" t="str">
        <x:f t="shared" si="0"/>
      </x:c>
      <x:c r="N12" s="9" t="str">
        <x:f t="shared" si="0"/>
      </x:c>
      <x:c r="P12" s="11"/>
    </x:row>
    <x:row r="13">
      <x:c r="A13" s="3" t="s">
        <x:v>27</x:v>
      </x:c>
      <x:c r="B13" s="3" t="s">
        <x:v>15</x:v>
      </x:c>
      <x:c r="C13" s="6"/>
      <x:c r="D13" s="5">
        <x:v>35516</x:v>
      </x:c>
      <x:c r="E13" s="5">
        <x:v>50475</x:v>
      </x:c>
      <x:c r="F13" s="6" t="s">
        <x:v>11</x:v>
      </x:c>
      <x:c r="G13" s="7">
        <x:f t="shared" si="6"/>
        <x:v>14959</x:v>
      </x:c>
      <x:c r="H13" s="7">
        <x:f t="shared" si="3"/>
        <x:v>14959</x:v>
      </x:c>
      <x:c r="I13" s="8" t="str">
        <x:f t="shared" si="4"/>
        <x:v>10,000 KM</x:v>
      </x:c>
      <x:c r="J13" s="9" t="str">
        <x:f t="shared" si="1"/>
        <x:v>Parche</x:v>
      </x:c>
      <x:c r="K13" s="9" t="str">
        <x:f t="shared" si="0"/>
        <x:v>Parche</x:v>
      </x:c>
      <x:c r="L13" s="9" t="str">
        <x:f t="shared" si="0"/>
      </x:c>
      <x:c r="M13" s="9" t="str">
        <x:f t="shared" si="0"/>
      </x:c>
      <x:c r="N13" s="9" t="str">
        <x:f t="shared" si="0"/>
      </x:c>
    </x:row>
    <x:row r="14">
      <x:c r="A14" s="3" t="s">
        <x:v>28</x:v>
      </x:c>
      <x:c r="B14" s="3" t="s">
        <x:v>12</x:v>
      </x:c>
      <x:c r="C14" s="6"/>
      <x:c r="D14" s="5">
        <x:v>65093</x:v>
      </x:c>
      <x:c r="E14" s="5">
        <x:v>83129</x:v>
      </x:c>
      <x:c r="F14" s="6" t="s">
        <x:v>13</x:v>
      </x:c>
      <x:c r="G14" s="7">
        <x:f t="shared" si="6"/>
        <x:v>29026.056239999998</x:v>
      </x:c>
      <x:c r="H14" s="7">
        <x:f t="shared" si="3"/>
        <x:v>29026.056239999998</x:v>
      </x:c>
      <x:c r="I14" s="8" t="str">
        <x:f t="shared" si="4"/>
        <x:v>25,000 KM</x:v>
      </x:c>
      <x:c r="J14" s="9" t="str">
        <x:f t="shared" si="1"/>
        <x:v>Parche</x:v>
      </x:c>
      <x:c r="K14" s="9" t="str">
        <x:f t="shared" si="0"/>
        <x:v>Parche</x:v>
      </x:c>
      <x:c r="L14" s="9" t="str">
        <x:f t="shared" si="0"/>
        <x:v>Parche</x:v>
      </x:c>
      <x:c r="M14" s="9" t="str">
        <x:f t="shared" si="0"/>
      </x:c>
      <x:c r="N14" s="9" t="str">
        <x:f t="shared" si="0"/>
      </x:c>
    </x:row>
    <x:row r="15">
      <x:c r="A15" s="3" t="s">
        <x:v>29</x:v>
      </x:c>
      <x:c r="B15" s="3" t="s">
        <x:v>22</x:v>
      </x:c>
      <x:c r="C15" s="6"/>
      <x:c r="D15" s="5">
        <x:v>4000</x:v>
      </x:c>
      <x:c r="E15" s="5">
        <x:v>22736</x:v>
      </x:c>
      <x:c r="F15" s="6" t="s">
        <x:v>13</x:v>
      </x:c>
      <x:c r="G15" s="7">
        <x:f t="shared" si="6"/>
        <x:v>30152.594239999999</x:v>
      </x:c>
      <x:c r="H15" s="7">
        <x:f t="shared" si="3"/>
        <x:v>30152.594239999999</x:v>
      </x:c>
      <x:c r="I15" s="8" t="str">
        <x:f t="shared" si="4"/>
        <x:v>25,000 KM</x:v>
      </x:c>
      <x:c r="J15" s="9" t="str">
        <x:f t="shared" si="1"/>
        <x:v>Parche</x:v>
      </x:c>
      <x:c r="K15" s="9" t="str">
        <x:f t="shared" si="1"/>
        <x:v>Parche</x:v>
      </x:c>
      <x:c r="L15" s="9" t="str">
        <x:f t="shared" si="1"/>
        <x:v>Parche</x:v>
      </x:c>
      <x:c r="M15" s="9" t="str">
        <x:f t="shared" si="1"/>
      </x:c>
      <x:c r="N15" s="9" t="str">
        <x:f t="shared" si="1"/>
      </x:c>
    </x:row>
    <x:row r="16">
      <x:c r="A16" s="3" t="s">
        <x:v>30</x:v>
      </x:c>
      <x:c r="B16" s="3" t="s">
        <x:v>21</x:v>
      </x:c>
      <x:c r="C16" s="6"/>
      <x:c r="D16" s="5"/>
      <x:c r="E16" s="5"/>
      <x:c r="F16" s="6" t="s">
        <x:v>11</x:v>
      </x:c>
      <x:c r="G16" s="7" t="n">
        <x:f>IF(F16="KM",E16-D16,(E16-D16)*1.60934)</x:f>
        <x:v>0</x:v>
      </x:c>
      <x:c r="H16" s="7" t="n">
        <x:f>G16</x:f>
        <x:v>0</x:v>
      </x:c>
      <x:c r="I16" s="8"/>
      <x:c r="J16" s="9" t="str">
        <x:f t="shared" si="1"/>
      </x:c>
      <x:c r="K16" s="9" t="str">
        <x:f t="shared" si="1"/>
      </x:c>
      <x:c r="L16" s="9" t="str">
        <x:f t="shared" si="1"/>
      </x:c>
      <x:c r="M16" s="9" t="str">
        <x:f t="shared" si="1"/>
      </x:c>
      <x:c r="N16" s="9" t="str">
        <x:f t="shared" si="1"/>
      </x:c>
    </x:row>
    <x:row r="17">
      <x:c r="A17" s="3" t="s">
        <x:v>30</x:v>
      </x:c>
      <x:c r="B17" s="3" t="s">
        <x:v>31</x:v>
      </x:c>
      <x:c r="C17" s="6"/>
      <x:c r="D17" s="5"/>
      <x:c r="E17" s="5"/>
      <x:c r="F17" s="6" t="s">
        <x:v>11</x:v>
      </x:c>
      <x:c r="G17" s="7" t="n">
        <x:f>IF(F17="KM",E17-D17,(E17-D17)*1.60934)</x:f>
        <x:v>0</x:v>
      </x:c>
      <x:c r="H17" s="7" t="n">
        <x:f>G17</x:f>
        <x:v>0</x:v>
      </x:c>
      <x:c r="I17" s="8" t="str">
        <x:f t="shared" si="4"/>
        <x:v>Sin parche</x:v>
      </x:c>
      <x:c r="J17" s="9" t="str">
        <x:f t="shared" si="1"/>
      </x:c>
      <x:c r="K17" s="9" t="str">
        <x:f t="shared" si="1"/>
      </x:c>
      <x:c r="L17" s="9" t="str">
        <x:f t="shared" si="1"/>
      </x:c>
      <x:c r="M17" s="9" t="str">
        <x:f t="shared" si="1"/>
      </x:c>
      <x:c r="N17" s="9" t="str">
        <x:f t="shared" si="1"/>
      </x:c>
    </x:row>
    <x:row r="18">
      <x:c r="A18" s="3" t="s">
        <x:v>30</x:v>
      </x:c>
      <x:c r="B18" s="3" t="s">
        <x:v>32</x:v>
      </x:c>
      <x:c r="C18" s="6"/>
      <x:c r="D18" s="5">
        <x:v>35635</x:v>
      </x:c>
      <x:c r="E18" s="5">
        <x:v>40635</x:v>
      </x:c>
      <x:c r="F18" s="6" t="str">
        <x:v>Km</x:v>
      </x:c>
      <x:c r="G18" s="7" t="n">
        <x:f>IF(F18="KM",E18-D18,(E18-D18)*1.60934)</x:f>
        <x:v>5000</x:v>
      </x:c>
      <x:c r="H18" s="7" t="n">
        <x:f>H17+G18</x:f>
        <x:v>5000</x:v>
      </x:c>
      <x:c r="I18" s="8"/>
      <x:c r="J18" s="9" t="str">
        <x:f t="shared" si="1"/>
        <x:v>Parche</x:v>
      </x:c>
      <x:c r="K18" s="9" t="str">
        <x:f t="shared" si="1"/>
      </x:c>
      <x:c r="L18" s="9" t="str">
        <x:f t="shared" si="1"/>
      </x:c>
      <x:c r="M18" s="9" t="str">
        <x:f t="shared" si="1"/>
      </x:c>
      <x:c r="N18" s="9" t="str">
        <x:f t="shared" si="1"/>
      </x:c>
    </x:row>
    <x:row r="19">
      <x:c r="A19" s="3" t="s">
        <x:v>33</x:v>
      </x:c>
      <x:c r="B19" s="3" t="s">
        <x:v>22</x:v>
      </x:c>
      <x:c r="C19" s="6"/>
      <x:c r="D19" s="5">
        <x:v>20172</x:v>
      </x:c>
      <x:c r="E19" s="5">
        <x:v>26467.4</x:v>
      </x:c>
      <x:c r="F19" s="6" t="s">
        <x:v>13</x:v>
      </x:c>
      <x:c r="G19" s="7">
        <x:f t="shared" si="6"/>
        <x:v>10131.439036000002</x:v>
      </x:c>
      <x:c r="H19" s="7">
        <x:f t="shared" si="3"/>
        <x:v>10131.439036000002</x:v>
      </x:c>
      <x:c r="I19" s="8" t="str">
        <x:f t="shared" si="4"/>
        <x:v>10,000 KM</x:v>
      </x:c>
      <x:c r="J19" s="9" t="str">
        <x:f t="shared" si="1"/>
        <x:v>Parche</x:v>
      </x:c>
      <x:c r="K19" s="9" t="str">
        <x:f t="shared" si="1"/>
        <x:v>Parche</x:v>
      </x:c>
      <x:c r="L19" s="9" t="str">
        <x:f t="shared" si="1"/>
      </x:c>
      <x:c r="M19" s="9" t="str">
        <x:f t="shared" si="1"/>
      </x:c>
      <x:c r="N19" s="9" t="str">
        <x:f t="shared" si="1"/>
      </x:c>
    </x:row>
    <x:row r="20">
      <x:c r="A20" s="3" t="s">
        <x:v>34</x:v>
      </x:c>
      <x:c r="B20" s="3" t="s">
        <x:v>21</x:v>
      </x:c>
      <x:c r="C20" s="6"/>
      <x:c r="D20" s="5"/>
      <x:c r="E20" s="5"/>
      <x:c r="F20" s="6"/>
      <x:c r="G20" s="7">
        <x:f t="shared" si="6"/>
        <x:v>0</x:v>
      </x:c>
      <x:c r="H20" s="7">
        <x:f t="shared" si="3"/>
        <x:v>0</x:v>
      </x:c>
      <x:c r="I20" s="6" t="str">
        <x:f t="shared" si="4"/>
        <x:v>Sin parche</x:v>
      </x:c>
      <x:c r="J20" s="9" t="str">
        <x:f t="shared" si="1"/>
      </x:c>
      <x:c r="K20" s="9" t="str">
        <x:f t="shared" si="1"/>
      </x:c>
      <x:c r="L20" s="9" t="str">
        <x:f t="shared" si="1"/>
      </x:c>
      <x:c r="M20" s="9" t="str">
        <x:f t="shared" si="1"/>
      </x:c>
      <x:c r="N20" s="9" t="str">
        <x:f t="shared" si="1"/>
      </x:c>
    </x:row>
    <x:row r="24">
      <x:c r="E24" s="13"/>
    </x:row>
  </x:sheetData>
  <x:conditionalFormatting sqref="A1:N1 J2:N1048576">
    <x:cfRule type="cellIs" dxfId="0" priority="1" operator="equal">
      <x:formula>"Parche"</x:formula>
    </x:cfRule>
  </x:conditionalFormatting>
  <x:pageMargins left="0.7" right="0.7" top="0.75" bottom="0.75" header="0.3" footer="0.3"/>
</x:worksheet>
</file>